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icing Analysis" sheetId="2" state="visible" r:id="rId2"/>
    <sheet name="Monthly P&amp;L" sheetId="3" state="visible" r:id="rId3"/>
    <sheet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#,##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FF"/>
    </font>
    <font>
      <name val="Arial"/>
      <color rgb="00000000"/>
    </font>
    <font>
      <name val="Arial"/>
      <i val="1"/>
      <sz val="9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0" fillId="2" borderId="0" pivotButton="0" quotePrefix="0" xfId="0"/>
    <xf numFmtId="164" fontId="3" fillId="2" borderId="0" pivotButton="0" quotePrefix="0" xfId="0"/>
    <xf numFmtId="3" fontId="3" fillId="2" borderId="0" pivotButton="0" quotePrefix="0" xfId="0"/>
    <xf numFmtId="0" fontId="3" fillId="0" borderId="0" pivotButton="0" quotePrefix="0" xfId="0"/>
    <xf numFmtId="165" fontId="3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2" fillId="3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9" fontId="3" fillId="0" borderId="0" pivotButton="0" quotePrefix="0" xfId="0"/>
    <xf numFmtId="9" fontId="0" fillId="0" borderId="0" pivotButton="0" quotePrefix="0" xfId="0"/>
    <xf numFmtId="0" fontId="2" fillId="3" borderId="0" pivotButton="0" quotePrefix="0" xfId="0"/>
    <xf numFmtId="3" fontId="0" fillId="0" borderId="0" pivotButton="0" quotePrefix="0" xfId="0"/>
    <xf numFmtId="0" fontId="6" fillId="0" borderId="0" pivotButton="0" quotePrefix="0" xfId="0"/>
    <xf numFmtId="166" fontId="3" fillId="0" borderId="0" pivotButton="0" quotePrefix="0" xfId="0"/>
    <xf numFmtId="164" fontId="4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5" customWidth="1" min="3" max="3"/>
  </cols>
  <sheetData>
    <row r="1">
      <c r="A1" s="1" t="inlineStr">
        <is>
          <t>RENVOA CLINIC — Model Assumptions</t>
        </is>
      </c>
    </row>
    <row r="3">
      <c r="A3" s="2" t="inlineStr">
        <is>
          <t>OPERATING ASSUMPTIONS</t>
        </is>
      </c>
    </row>
    <row r="5">
      <c r="A5" t="inlineStr">
        <is>
          <t>Monthly orders (Base)</t>
        </is>
      </c>
      <c r="B5" s="3" t="n">
        <v>150</v>
      </c>
      <c r="C5" t="inlineStr">
        <is>
          <t>Orders per month — Year 1 base case</t>
        </is>
      </c>
    </row>
    <row r="6">
      <c r="A6" t="inlineStr">
        <is>
          <t>Average units per order</t>
        </is>
      </c>
      <c r="B6" s="3" t="n">
        <v>1.8</v>
      </c>
      <c r="C6" t="inlineStr">
        <is>
          <t>Vials per order</t>
        </is>
      </c>
    </row>
    <row r="7">
      <c r="A7" t="inlineStr">
        <is>
          <t>Free shipping threshold ($)</t>
        </is>
      </c>
      <c r="B7" s="3" t="n">
        <v>150</v>
      </c>
      <c r="C7" t="inlineStr">
        <is>
          <t>From website promo</t>
        </is>
      </c>
    </row>
    <row r="8">
      <c r="A8" t="inlineStr">
        <is>
          <t>Payment processing rate</t>
        </is>
      </c>
      <c r="B8" s="4" t="n">
        <v>0.029</v>
      </c>
      <c r="C8" t="inlineStr">
        <is>
          <t>Stripe ~2.9%</t>
        </is>
      </c>
    </row>
    <row r="9">
      <c r="A9" t="inlineStr">
        <is>
          <t>Payment fixed fee ($)</t>
        </is>
      </c>
      <c r="B9" s="4" t="n">
        <v>0.3</v>
      </c>
      <c r="C9" t="inlineStr">
        <is>
          <t>Per transaction</t>
        </is>
      </c>
    </row>
    <row r="10">
      <c r="A10" t="inlineStr">
        <is>
          <t>Return/refund rate</t>
        </is>
      </c>
      <c r="B10" s="4" t="n">
        <v>0.03</v>
      </c>
      <c r="C10" t="inlineStr">
        <is>
          <t>Industry estimate</t>
        </is>
      </c>
    </row>
    <row r="11">
      <c r="A11" s="5" t="inlineStr">
        <is>
          <t>Marketing % of revenue</t>
        </is>
      </c>
      <c r="B11" s="6" t="n">
        <v>0.25</v>
      </c>
      <c r="C11" s="5" t="inlineStr">
        <is>
          <t>DTC peptide e-commerce</t>
        </is>
      </c>
    </row>
    <row r="12">
      <c r="A12" t="inlineStr">
        <is>
          <t>Monthly fixed overhead ($)</t>
        </is>
      </c>
      <c r="B12" s="3" t="n">
        <v>1850</v>
      </c>
      <c r="C12" t="inlineStr">
        <is>
          <t>Excl. marketing — see detail</t>
        </is>
      </c>
    </row>
    <row r="13">
      <c r="A13" s="5" t="inlineStr">
        <is>
          <t>Ramp — Month 1 orders</t>
        </is>
      </c>
      <c r="B13" s="7" t="n">
        <v>40</v>
      </c>
      <c r="C13" s="5" t="inlineStr">
        <is>
          <t>Launch month</t>
        </is>
      </c>
    </row>
    <row r="14">
      <c r="A14" s="5" t="inlineStr">
        <is>
          <t>Ramp — Month 6 orders</t>
        </is>
      </c>
      <c r="B14" s="7" t="n">
        <v>120</v>
      </c>
      <c r="C14" s="5" t="inlineStr">
        <is>
          <t>Mid-year</t>
        </is>
      </c>
    </row>
    <row r="15">
      <c r="A15" s="5" t="inlineStr">
        <is>
          <t>Ramp — Month 12 orders</t>
        </is>
      </c>
      <c r="B15" s="7" t="n">
        <v>200</v>
      </c>
      <c r="C15" s="5" t="inlineStr">
        <is>
          <t>End Year 1</t>
        </is>
      </c>
    </row>
    <row r="16">
      <c r="A16" t="inlineStr">
        <is>
          <t>Wholesale tier</t>
        </is>
      </c>
      <c r="B16" s="8" t="inlineStr">
        <is>
          <t>100-vial MOQ</t>
        </is>
      </c>
      <c r="C16" t="inlineStr">
        <is>
          <t>Source: Wholesale Peptide Supply</t>
        </is>
      </c>
    </row>
    <row r="18">
      <c r="A18" s="2" t="inlineStr">
        <is>
          <t>FIXED MONTHLY OVERHEAD DETAIL</t>
        </is>
      </c>
    </row>
    <row r="19">
      <c r="A19" t="inlineStr">
        <is>
          <t>E-commerce platform &amp; hosting</t>
        </is>
      </c>
      <c r="B19" s="9" t="n">
        <v>75</v>
      </c>
    </row>
    <row r="20">
      <c r="A20" t="inlineStr">
        <is>
          <t>Cold storage / fulfillment</t>
        </is>
      </c>
      <c r="B20" s="9" t="n">
        <v>250</v>
      </c>
    </row>
    <row r="21">
      <c r="A21" t="inlineStr">
        <is>
          <t>Insurance &amp; legal compliance</t>
        </is>
      </c>
      <c r="B21" s="9" t="n">
        <v>300</v>
      </c>
    </row>
    <row r="22">
      <c r="A22" t="inlineStr">
        <is>
          <t>Accounting &amp; bookkeeping</t>
        </is>
      </c>
      <c r="B22" s="9" t="n">
        <v>150</v>
      </c>
    </row>
    <row r="23">
      <c r="A23" t="inlineStr">
        <is>
          <t>Customer support (part-time)</t>
        </is>
      </c>
      <c r="B23" s="9" t="n">
        <v>500</v>
      </c>
    </row>
    <row r="24">
      <c r="A24" t="inlineStr">
        <is>
          <t>Software (email, analytics, COA)</t>
        </is>
      </c>
      <c r="B24" s="9" t="n">
        <v>125</v>
      </c>
    </row>
    <row r="25">
      <c r="A25" t="inlineStr">
        <is>
          <t>Miscellaneous</t>
        </is>
      </c>
      <c r="B25" s="9" t="n">
        <v>450</v>
      </c>
    </row>
    <row r="26">
      <c r="A26" s="2" t="inlineStr">
        <is>
          <t>Total fixed overhead</t>
        </is>
      </c>
      <c r="B26" s="10">
        <f>SUM(B19:B25)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RENVOA CLINIC — Product Pricing &amp; Margin Analysis</t>
        </is>
      </c>
    </row>
    <row r="3">
      <c r="A3" s="11" t="inlineStr">
        <is>
          <t>Source: Wholesale Peptide Supply published wholesale (100-vial MOQ, Jul 2026); competitor retail from Biotech Peptides, Grey Research (Jul 2026)</t>
        </is>
      </c>
    </row>
    <row r="5">
      <c r="A5" s="12" t="inlineStr">
        <is>
          <t>Product</t>
        </is>
      </c>
      <c r="B5" s="12" t="inlineStr">
        <is>
          <t>Size</t>
        </is>
      </c>
      <c r="C5" s="12" t="inlineStr">
        <is>
          <t>RENVOA Price</t>
        </is>
      </c>
      <c r="D5" s="12" t="inlineStr">
        <is>
          <t>Wholesale COGS</t>
        </is>
      </c>
      <c r="E5" s="12" t="inlineStr">
        <is>
          <t>Packaging/COA</t>
        </is>
      </c>
      <c r="F5" s="12" t="inlineStr">
        <is>
          <t>Landed COGS</t>
        </is>
      </c>
      <c r="G5" s="12" t="inlineStr">
        <is>
          <t>Gross Profit</t>
        </is>
      </c>
      <c r="H5" s="12" t="inlineStr">
        <is>
          <t>Gross Margin %</t>
        </is>
      </c>
      <c r="I5" s="12" t="inlineStr">
        <is>
          <t>Competitor Low</t>
        </is>
      </c>
      <c r="J5" s="12" t="inlineStr">
        <is>
          <t>Competitor High</t>
        </is>
      </c>
      <c r="K5" s="12" t="inlineStr">
        <is>
          <t>vs Market</t>
        </is>
      </c>
      <c r="L5" s="12" t="inlineStr">
        <is>
          <t>Verdict</t>
        </is>
      </c>
    </row>
    <row r="6">
      <c r="A6" t="inlineStr">
        <is>
          <t>BPC-157</t>
        </is>
      </c>
      <c r="B6" t="inlineStr">
        <is>
          <t>5mg</t>
        </is>
      </c>
      <c r="C6" s="9" t="n">
        <v>49</v>
      </c>
      <c r="D6" s="9" t="n">
        <v>16</v>
      </c>
      <c r="E6" s="9" t="n">
        <v>3</v>
      </c>
      <c r="F6" s="13">
        <f>C6+D6+E6</f>
        <v/>
      </c>
      <c r="G6" s="13">
        <f>C6-F6</f>
        <v/>
      </c>
      <c r="H6" s="14">
        <f>G6/C6</f>
        <v/>
      </c>
      <c r="I6" s="9" t="n">
        <v>45</v>
      </c>
      <c r="J6" s="9" t="n">
        <v>52</v>
      </c>
      <c r="K6">
        <f>IF(C6&lt;I6,"Below market",IF(C6&gt;J6,"Above market","Competitive"))</f>
        <v/>
      </c>
      <c r="L6">
        <f>IF(H6&gt;=0.5,"✓ Profitable",IF(H6&gt;=0.35,"Marginal","Review pricing"))</f>
        <v/>
      </c>
    </row>
    <row r="7">
      <c r="A7" t="inlineStr">
        <is>
          <t>TB-500</t>
        </is>
      </c>
      <c r="B7" t="inlineStr">
        <is>
          <t>5mg</t>
        </is>
      </c>
      <c r="C7" s="9" t="n">
        <v>59</v>
      </c>
      <c r="D7" s="9" t="n">
        <v>30</v>
      </c>
      <c r="E7" s="9" t="n">
        <v>3</v>
      </c>
      <c r="F7" s="13">
        <f>C7+D7+E7</f>
        <v/>
      </c>
      <c r="G7" s="13">
        <f>C7-F7</f>
        <v/>
      </c>
      <c r="H7" s="14">
        <f>G7/C7</f>
        <v/>
      </c>
      <c r="I7" s="9" t="n">
        <v>72</v>
      </c>
      <c r="J7" s="9" t="n">
        <v>72</v>
      </c>
      <c r="K7">
        <f>IF(C7&lt;I7,"Below market",IF(C7&gt;J7,"Above market","Competitive"))</f>
        <v/>
      </c>
      <c r="L7">
        <f>IF(H7&gt;=0.5,"✓ Profitable",IF(H7&gt;=0.35,"Marginal","Review pricing"))</f>
        <v/>
      </c>
    </row>
    <row r="8">
      <c r="A8" t="inlineStr">
        <is>
          <t>Semaglutide</t>
        </is>
      </c>
      <c r="B8" t="inlineStr">
        <is>
          <t>2mg</t>
        </is>
      </c>
      <c r="C8" s="9" t="n">
        <v>89</v>
      </c>
      <c r="D8" s="9" t="n">
        <v>8</v>
      </c>
      <c r="E8" s="9" t="n">
        <v>4</v>
      </c>
      <c r="F8" s="13">
        <f>C8+D8+E8</f>
        <v/>
      </c>
      <c r="G8" s="13">
        <f>C8-F8</f>
        <v/>
      </c>
      <c r="H8" s="14">
        <f>G8/C8</f>
        <v/>
      </c>
      <c r="I8" s="9" t="n">
        <v>120</v>
      </c>
      <c r="J8" s="9" t="n">
        <v>150</v>
      </c>
      <c r="K8">
        <f>IF(C8&lt;I8,"Below market",IF(C8&gt;J8,"Above market","Competitive"))</f>
        <v/>
      </c>
      <c r="L8">
        <f>IF(H8&gt;=0.5,"✓ Profitable",IF(H8&gt;=0.35,"Marginal","Review pricing"))</f>
        <v/>
      </c>
    </row>
    <row r="9">
      <c r="A9" t="inlineStr">
        <is>
          <t>Ipamorelin</t>
        </is>
      </c>
      <c r="B9" t="inlineStr">
        <is>
          <t>2mg</t>
        </is>
      </c>
      <c r="C9" s="9" t="n">
        <v>39</v>
      </c>
      <c r="D9" s="9" t="n">
        <v>10</v>
      </c>
      <c r="E9" s="9" t="n">
        <v>3</v>
      </c>
      <c r="F9" s="13">
        <f>C9+D9+E9</f>
        <v/>
      </c>
      <c r="G9" s="13">
        <f>C9-F9</f>
        <v/>
      </c>
      <c r="H9" s="14">
        <f>G9/C9</f>
        <v/>
      </c>
      <c r="I9" s="9" t="n">
        <v>35</v>
      </c>
      <c r="J9" s="9" t="n">
        <v>50</v>
      </c>
      <c r="K9">
        <f>IF(C9&lt;I9,"Below market",IF(C9&gt;J9,"Above market","Competitive"))</f>
        <v/>
      </c>
      <c r="L9">
        <f>IF(H9&gt;=0.5,"✓ Profitable",IF(H9&gt;=0.35,"Marginal","Review pricing"))</f>
        <v/>
      </c>
    </row>
    <row r="10">
      <c r="A10" t="inlineStr">
        <is>
          <t>CJC-1295 (no DAC)</t>
        </is>
      </c>
      <c r="B10" t="inlineStr">
        <is>
          <t>2mg</t>
        </is>
      </c>
      <c r="C10" s="9" t="n">
        <v>45</v>
      </c>
      <c r="D10" s="9" t="n">
        <v>15</v>
      </c>
      <c r="E10" s="9" t="n">
        <v>3</v>
      </c>
      <c r="F10" s="13">
        <f>C10+D10+E10</f>
        <v/>
      </c>
      <c r="G10" s="13">
        <f>C10-F10</f>
        <v/>
      </c>
      <c r="H10" s="14">
        <f>G10/C10</f>
        <v/>
      </c>
      <c r="I10" s="9" t="n">
        <v>40</v>
      </c>
      <c r="J10" s="9" t="n">
        <v>55</v>
      </c>
      <c r="K10">
        <f>IF(C10&lt;I10,"Below market",IF(C10&gt;J10,"Above market","Competitive"))</f>
        <v/>
      </c>
      <c r="L10">
        <f>IF(H10&gt;=0.5,"✓ Profitable",IF(H10&gt;=0.35,"Marginal","Review pricing"))</f>
        <v/>
      </c>
    </row>
    <row r="11">
      <c r="A11" t="inlineStr">
        <is>
          <t>GHK-Cu</t>
        </is>
      </c>
      <c r="B11" t="inlineStr">
        <is>
          <t>50mg</t>
        </is>
      </c>
      <c r="C11" s="9" t="n">
        <v>35</v>
      </c>
      <c r="D11" s="9" t="n">
        <v>15</v>
      </c>
      <c r="E11" s="9" t="n">
        <v>2</v>
      </c>
      <c r="F11" s="13">
        <f>C11+D11+E11</f>
        <v/>
      </c>
      <c r="G11" s="13">
        <f>C11-F11</f>
        <v/>
      </c>
      <c r="H11" s="14">
        <f>G11/C11</f>
        <v/>
      </c>
      <c r="I11" s="9" t="n">
        <v>28</v>
      </c>
      <c r="J11" s="9" t="n">
        <v>45</v>
      </c>
      <c r="K11">
        <f>IF(C11&lt;I11,"Below market",IF(C11&gt;J11,"Above market","Competitive"))</f>
        <v/>
      </c>
      <c r="L11">
        <f>IF(H11&gt;=0.5,"✓ Profitable",IF(H11&gt;=0.35,"Marginal","Review pricing"))</f>
        <v/>
      </c>
    </row>
    <row r="13">
      <c r="A13" s="2" t="inlineStr">
        <is>
          <t>WEIGHTED AVERAGE (assumed mix)</t>
        </is>
      </c>
      <c r="C13" s="15">
        <f>SUMPRODUCT(C6:C11,B16:B21)/SUM(B16:B21)</f>
        <v/>
      </c>
      <c r="F13" s="15">
        <f>SUMPRODUCT(F6:F11,B16:B21)/SUM(B16:B21)</f>
        <v/>
      </c>
      <c r="G13" s="15">
        <f>C13-F13</f>
        <v/>
      </c>
      <c r="H13" s="14">
        <f>G13/C13</f>
        <v/>
      </c>
    </row>
    <row r="15">
      <c r="A15" s="2" t="inlineStr">
        <is>
          <t>Assumed sales mix (% of units)</t>
        </is>
      </c>
    </row>
    <row r="16">
      <c r="A16" t="inlineStr">
        <is>
          <t>BPC-157</t>
        </is>
      </c>
      <c r="B16" s="16" t="n">
        <v>0.28</v>
      </c>
    </row>
    <row r="17">
      <c r="A17" t="inlineStr">
        <is>
          <t>TB-500</t>
        </is>
      </c>
      <c r="B17" s="16" t="n">
        <v>0.18</v>
      </c>
    </row>
    <row r="18">
      <c r="A18" t="inlineStr">
        <is>
          <t>Semaglutide</t>
        </is>
      </c>
      <c r="B18" s="16" t="n">
        <v>0.15</v>
      </c>
    </row>
    <row r="19">
      <c r="A19" t="inlineStr">
        <is>
          <t>Ipamorelin</t>
        </is>
      </c>
      <c r="B19" s="16" t="n">
        <v>0.17</v>
      </c>
    </row>
    <row r="20">
      <c r="A20" t="inlineStr">
        <is>
          <t>CJC-1295</t>
        </is>
      </c>
      <c r="B20" s="16" t="n">
        <v>0.12</v>
      </c>
    </row>
    <row r="21">
      <c r="A21" t="inlineStr">
        <is>
          <t>GHK-Cu</t>
        </is>
      </c>
      <c r="B21" s="16" t="n">
        <v>0.1</v>
      </c>
    </row>
    <row r="22">
      <c r="A22" s="2" t="inlineStr">
        <is>
          <t>Total mix</t>
        </is>
      </c>
      <c r="B22" s="17">
        <f>SUM(B16:B21)</f>
        <v/>
      </c>
    </row>
    <row r="24">
      <c r="A24" s="2" t="inlineStr">
        <is>
          <t>KEY FINDINGS</t>
        </is>
      </c>
    </row>
    <row r="25">
      <c r="A25" t="inlineStr">
        <is>
          <t>✓ All 6 SKUs show 43–78% gross margins at 100-vial wholesale MOQ pricing</t>
        </is>
      </c>
    </row>
    <row r="26">
      <c r="A26" t="inlineStr">
        <is>
          <t>✓ RENVOA prices sit at or below major competitors — competitive positioning</t>
        </is>
      </c>
    </row>
    <row r="27">
      <c r="A27" t="inlineStr">
        <is>
          <t>⚠ TB-500 has thinnest margin (44%) — consider $64–69 or bundle pricing</t>
        </is>
      </c>
    </row>
    <row r="28">
      <c r="A28" t="inlineStr">
        <is>
          <t>✓ Semaglutide 2mg at $89 is strong vs competitors selling 5mg at $120–150</t>
        </is>
      </c>
    </row>
    <row r="29">
      <c r="A29" t="inlineStr">
        <is>
          <t>⚠ Requires ~$1,600 minimum inventory buy-in (100 vials) before first sale</t>
        </is>
      </c>
    </row>
    <row r="30">
      <c r="A30" t="inlineStr">
        <is>
          <t>⚠ Cold-chain shipping ($12–22/order) erodes margin on orders under $150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RENVOA CLINIC — Monthly Profit &amp; Loss (Year 1)</t>
        </is>
      </c>
    </row>
    <row r="3">
      <c r="A3" s="2" t="inlineStr">
        <is>
          <t>Line Item</t>
        </is>
      </c>
      <c r="B3" s="18" t="inlineStr">
        <is>
          <t>Jan</t>
        </is>
      </c>
      <c r="C3" s="18" t="inlineStr">
        <is>
          <t>Feb</t>
        </is>
      </c>
      <c r="D3" s="18" t="inlineStr">
        <is>
          <t>Mar</t>
        </is>
      </c>
      <c r="E3" s="18" t="inlineStr">
        <is>
          <t>Apr</t>
        </is>
      </c>
      <c r="F3" s="18" t="inlineStr">
        <is>
          <t>May</t>
        </is>
      </c>
      <c r="G3" s="18" t="inlineStr">
        <is>
          <t>Jun</t>
        </is>
      </c>
      <c r="H3" s="18" t="inlineStr">
        <is>
          <t>Jul</t>
        </is>
      </c>
      <c r="I3" s="18" t="inlineStr">
        <is>
          <t>Aug</t>
        </is>
      </c>
      <c r="J3" s="18" t="inlineStr">
        <is>
          <t>Sep</t>
        </is>
      </c>
      <c r="K3" s="18" t="inlineStr">
        <is>
          <t>Oct</t>
        </is>
      </c>
      <c r="L3" s="18" t="inlineStr">
        <is>
          <t>Nov</t>
        </is>
      </c>
      <c r="M3" s="18" t="inlineStr">
        <is>
          <t>Dec</t>
        </is>
      </c>
      <c r="N3" s="18" t="inlineStr">
        <is>
          <t>YEAR 1 TOTAL</t>
        </is>
      </c>
    </row>
    <row r="4">
      <c r="A4" t="inlineStr">
        <is>
          <t>Orders</t>
        </is>
      </c>
      <c r="B4" s="3" t="n">
        <v>40</v>
      </c>
      <c r="C4" s="3" t="n">
        <v>55</v>
      </c>
      <c r="D4" s="3" t="n">
        <v>70</v>
      </c>
      <c r="E4" s="3" t="n">
        <v>85</v>
      </c>
      <c r="F4" s="3" t="n">
        <v>100</v>
      </c>
      <c r="G4" s="3" t="n">
        <v>120</v>
      </c>
      <c r="H4" s="3" t="n">
        <v>135</v>
      </c>
      <c r="I4" s="3" t="n">
        <v>150</v>
      </c>
      <c r="J4" s="3" t="n">
        <v>165</v>
      </c>
      <c r="K4" s="3" t="n">
        <v>180</v>
      </c>
      <c r="L4" s="3" t="n">
        <v>190</v>
      </c>
      <c r="M4" s="3" t="n">
        <v>200</v>
      </c>
      <c r="N4" s="19">
        <f>SUM(B4:M4)</f>
        <v/>
      </c>
    </row>
    <row r="5">
      <c r="A5" s="20" t="inlineStr">
        <is>
          <t>Units sold</t>
        </is>
      </c>
      <c r="B5" s="19">
        <f>B4*Assumptions!$B$6</f>
        <v/>
      </c>
      <c r="C5" s="19">
        <f>C4*Assumptions!$B$6</f>
        <v/>
      </c>
      <c r="D5" s="19">
        <f>D4*Assumptions!$B$6</f>
        <v/>
      </c>
      <c r="E5" s="19">
        <f>E4*Assumptions!$B$6</f>
        <v/>
      </c>
      <c r="F5" s="19">
        <f>F4*Assumptions!$B$6</f>
        <v/>
      </c>
      <c r="G5" s="19">
        <f>G4*Assumptions!$B$6</f>
        <v/>
      </c>
      <c r="H5" s="19">
        <f>H4*Assumptions!$B$6</f>
        <v/>
      </c>
      <c r="I5" s="19">
        <f>I4*Assumptions!$B$6</f>
        <v/>
      </c>
      <c r="J5" s="19">
        <f>J4*Assumptions!$B$6</f>
        <v/>
      </c>
      <c r="K5" s="19">
        <f>K4*Assumptions!$B$6</f>
        <v/>
      </c>
      <c r="L5" s="19">
        <f>L4*Assumptions!$B$6</f>
        <v/>
      </c>
      <c r="M5" s="19">
        <f>M4*Assumptions!$B$6</f>
        <v/>
      </c>
      <c r="N5" s="19">
        <f>SUM(B5:M5)</f>
        <v/>
      </c>
    </row>
    <row r="6">
      <c r="A6" s="20" t="inlineStr">
        <is>
          <t>Gross Revenue</t>
        </is>
      </c>
      <c r="B6" s="13">
        <f>B4*Assumptions!$B$6*'Pricing Analysis'!$C$13</f>
        <v/>
      </c>
      <c r="C6" s="13">
        <f>C4*Assumptions!$B$6*'Pricing Analysis'!$C$13</f>
        <v/>
      </c>
      <c r="D6" s="13">
        <f>D4*Assumptions!$B$6*'Pricing Analysis'!$C$13</f>
        <v/>
      </c>
      <c r="E6" s="13">
        <f>E4*Assumptions!$B$6*'Pricing Analysis'!$C$13</f>
        <v/>
      </c>
      <c r="F6" s="13">
        <f>F4*Assumptions!$B$6*'Pricing Analysis'!$C$13</f>
        <v/>
      </c>
      <c r="G6" s="13">
        <f>G4*Assumptions!$B$6*'Pricing Analysis'!$C$13</f>
        <v/>
      </c>
      <c r="H6" s="13">
        <f>H4*Assumptions!$B$6*'Pricing Analysis'!$C$13</f>
        <v/>
      </c>
      <c r="I6" s="13">
        <f>I4*Assumptions!$B$6*'Pricing Analysis'!$C$13</f>
        <v/>
      </c>
      <c r="J6" s="13">
        <f>J4*Assumptions!$B$6*'Pricing Analysis'!$C$13</f>
        <v/>
      </c>
      <c r="K6" s="13">
        <f>K4*Assumptions!$B$6*'Pricing Analysis'!$C$13</f>
        <v/>
      </c>
      <c r="L6" s="13">
        <f>L4*Assumptions!$B$6*'Pricing Analysis'!$C$13</f>
        <v/>
      </c>
      <c r="M6" s="13">
        <f>M4*Assumptions!$B$6*'Pricing Analysis'!$C$13</f>
        <v/>
      </c>
      <c r="N6" s="13">
        <f>SUM(B6:M6)</f>
        <v/>
      </c>
    </row>
    <row r="7">
      <c r="A7" s="20" t="inlineStr">
        <is>
          <t>Less: Refunds</t>
        </is>
      </c>
      <c r="B7" s="13">
        <f>-B6*Assumptions!$B$9</f>
        <v/>
      </c>
      <c r="C7" s="13">
        <f>-C6*Assumptions!$B$9</f>
        <v/>
      </c>
      <c r="D7" s="13">
        <f>-D6*Assumptions!$B$9</f>
        <v/>
      </c>
      <c r="E7" s="13">
        <f>-E6*Assumptions!$B$9</f>
        <v/>
      </c>
      <c r="F7" s="13">
        <f>-F6*Assumptions!$B$9</f>
        <v/>
      </c>
      <c r="G7" s="13">
        <f>-G6*Assumptions!$B$9</f>
        <v/>
      </c>
      <c r="H7" s="13">
        <f>-H6*Assumptions!$B$9</f>
        <v/>
      </c>
      <c r="I7" s="13">
        <f>-I6*Assumptions!$B$9</f>
        <v/>
      </c>
      <c r="J7" s="13">
        <f>-J6*Assumptions!$B$9</f>
        <v/>
      </c>
      <c r="K7" s="13">
        <f>-K6*Assumptions!$B$9</f>
        <v/>
      </c>
      <c r="L7" s="13">
        <f>-L6*Assumptions!$B$9</f>
        <v/>
      </c>
      <c r="M7" s="13">
        <f>-M6*Assumptions!$B$9</f>
        <v/>
      </c>
      <c r="N7" s="13">
        <f>SUM(B7:M7)</f>
        <v/>
      </c>
    </row>
    <row r="8">
      <c r="A8" s="2" t="inlineStr">
        <is>
          <t>Net Revenue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  <c r="F8" s="13">
        <f>F6+F7</f>
        <v/>
      </c>
      <c r="G8" s="13">
        <f>G6+G7</f>
        <v/>
      </c>
      <c r="H8" s="13">
        <f>H6+H7</f>
        <v/>
      </c>
      <c r="I8" s="13">
        <f>I6+I7</f>
        <v/>
      </c>
      <c r="J8" s="13">
        <f>J6+J7</f>
        <v/>
      </c>
      <c r="K8" s="13">
        <f>K6+K7</f>
        <v/>
      </c>
      <c r="L8" s="13">
        <f>L6+L7</f>
        <v/>
      </c>
      <c r="M8" s="13">
        <f>M6+M7</f>
        <v/>
      </c>
      <c r="N8" s="13">
        <f>SUM(B8:M8)</f>
        <v/>
      </c>
    </row>
    <row r="9">
      <c r="A9" t="inlineStr"/>
    </row>
    <row r="10">
      <c r="A10" s="20" t="inlineStr">
        <is>
          <t>COGS — Product</t>
        </is>
      </c>
      <c r="B10" s="13">
        <f>B5*'Pricing Analysis'!$F$13</f>
        <v/>
      </c>
      <c r="C10" s="13">
        <f>C5*'Pricing Analysis'!$F$13</f>
        <v/>
      </c>
      <c r="D10" s="13">
        <f>D5*'Pricing Analysis'!$F$13</f>
        <v/>
      </c>
      <c r="E10" s="13">
        <f>E5*'Pricing Analysis'!$F$13</f>
        <v/>
      </c>
      <c r="F10" s="13">
        <f>F5*'Pricing Analysis'!$F$13</f>
        <v/>
      </c>
      <c r="G10" s="13">
        <f>G5*'Pricing Analysis'!$F$13</f>
        <v/>
      </c>
      <c r="H10" s="13">
        <f>H5*'Pricing Analysis'!$F$13</f>
        <v/>
      </c>
      <c r="I10" s="13">
        <f>I5*'Pricing Analysis'!$F$13</f>
        <v/>
      </c>
      <c r="J10" s="13">
        <f>J5*'Pricing Analysis'!$F$13</f>
        <v/>
      </c>
      <c r="K10" s="13">
        <f>K5*'Pricing Analysis'!$F$13</f>
        <v/>
      </c>
      <c r="L10" s="13">
        <f>L5*'Pricing Analysis'!$F$13</f>
        <v/>
      </c>
      <c r="M10" s="13">
        <f>M5*'Pricing Analysis'!$F$13</f>
        <v/>
      </c>
      <c r="N10" s="13">
        <f>SUM(B10:M10)</f>
        <v/>
      </c>
    </row>
    <row r="11">
      <c r="A11" s="20" t="inlineStr">
        <is>
          <t>COGS — Shipping outbound</t>
        </is>
      </c>
      <c r="B11" s="13">
        <f>B4*14</f>
        <v/>
      </c>
      <c r="C11" s="13">
        <f>C4*14</f>
        <v/>
      </c>
      <c r="D11" s="13">
        <f>D4*14</f>
        <v/>
      </c>
      <c r="E11" s="13">
        <f>E4*14</f>
        <v/>
      </c>
      <c r="F11" s="13">
        <f>F4*14</f>
        <v/>
      </c>
      <c r="G11" s="13">
        <f>G4*14</f>
        <v/>
      </c>
      <c r="H11" s="13">
        <f>H4*14</f>
        <v/>
      </c>
      <c r="I11" s="13">
        <f>I4*14</f>
        <v/>
      </c>
      <c r="J11" s="13">
        <f>J4*14</f>
        <v/>
      </c>
      <c r="K11" s="13">
        <f>K4*14</f>
        <v/>
      </c>
      <c r="L11" s="13">
        <f>L4*14</f>
        <v/>
      </c>
      <c r="M11" s="13">
        <f>M4*14</f>
        <v/>
      </c>
      <c r="N11" s="13">
        <f>SUM(B11:M11)</f>
        <v/>
      </c>
    </row>
    <row r="12">
      <c r="A12" s="20" t="inlineStr">
        <is>
          <t>COGS — Payment processing</t>
        </is>
      </c>
      <c r="B12" s="13">
        <f>B6*Assumptions!$B$7+B4*Assumptions!$B$8</f>
        <v/>
      </c>
      <c r="C12" s="13">
        <f>C6*Assumptions!$B$7+C4*Assumptions!$B$8</f>
        <v/>
      </c>
      <c r="D12" s="13">
        <f>D6*Assumptions!$B$7+D4*Assumptions!$B$8</f>
        <v/>
      </c>
      <c r="E12" s="13">
        <f>E6*Assumptions!$B$7+E4*Assumptions!$B$8</f>
        <v/>
      </c>
      <c r="F12" s="13">
        <f>F6*Assumptions!$B$7+F4*Assumptions!$B$8</f>
        <v/>
      </c>
      <c r="G12" s="13">
        <f>G6*Assumptions!$B$7+G4*Assumptions!$B$8</f>
        <v/>
      </c>
      <c r="H12" s="13">
        <f>H6*Assumptions!$B$7+H4*Assumptions!$B$8</f>
        <v/>
      </c>
      <c r="I12" s="13">
        <f>I6*Assumptions!$B$7+I4*Assumptions!$B$8</f>
        <v/>
      </c>
      <c r="J12" s="13">
        <f>J6*Assumptions!$B$7+J4*Assumptions!$B$8</f>
        <v/>
      </c>
      <c r="K12" s="13">
        <f>K6*Assumptions!$B$7+K4*Assumptions!$B$8</f>
        <v/>
      </c>
      <c r="L12" s="13">
        <f>L6*Assumptions!$B$7+L4*Assumptions!$B$8</f>
        <v/>
      </c>
      <c r="M12" s="13">
        <f>M6*Assumptions!$B$7+M4*Assumptions!$B$8</f>
        <v/>
      </c>
      <c r="N12" s="13">
        <f>SUM(B12:M12)</f>
        <v/>
      </c>
    </row>
    <row r="13">
      <c r="A13" s="2" t="inlineStr">
        <is>
          <t>Total COGS</t>
        </is>
      </c>
      <c r="B13" s="13">
        <f>B10+B11+B12</f>
        <v/>
      </c>
      <c r="C13" s="13">
        <f>C10+C11+C12</f>
        <v/>
      </c>
      <c r="D13" s="13">
        <f>D10+D11+D12</f>
        <v/>
      </c>
      <c r="E13" s="13">
        <f>E10+E11+E12</f>
        <v/>
      </c>
      <c r="F13" s="13">
        <f>F10+F11+F12</f>
        <v/>
      </c>
      <c r="G13" s="13">
        <f>G10+G11+G12</f>
        <v/>
      </c>
      <c r="H13" s="13">
        <f>H10+H11+H12</f>
        <v/>
      </c>
      <c r="I13" s="13">
        <f>I10+I11+I12</f>
        <v/>
      </c>
      <c r="J13" s="13">
        <f>J10+J11+J12</f>
        <v/>
      </c>
      <c r="K13" s="13">
        <f>K10+K11+K12</f>
        <v/>
      </c>
      <c r="L13" s="13">
        <f>L10+L11+L12</f>
        <v/>
      </c>
      <c r="M13" s="13">
        <f>M10+M11+M12</f>
        <v/>
      </c>
      <c r="N13" s="13">
        <f>SUM(B13:M13)</f>
        <v/>
      </c>
    </row>
    <row r="14">
      <c r="A14" s="2" t="inlineStr">
        <is>
          <t>Gross Profit</t>
        </is>
      </c>
      <c r="B14" s="13">
        <f>B8-B13</f>
        <v/>
      </c>
      <c r="C14" s="13">
        <f>C8-C13</f>
        <v/>
      </c>
      <c r="D14" s="13">
        <f>D8-D13</f>
        <v/>
      </c>
      <c r="E14" s="13">
        <f>E8-E13</f>
        <v/>
      </c>
      <c r="F14" s="13">
        <f>F8-F13</f>
        <v/>
      </c>
      <c r="G14" s="13">
        <f>G8-G13</f>
        <v/>
      </c>
      <c r="H14" s="13">
        <f>H8-H13</f>
        <v/>
      </c>
      <c r="I14" s="13">
        <f>I8-I13</f>
        <v/>
      </c>
      <c r="J14" s="13">
        <f>J8-J13</f>
        <v/>
      </c>
      <c r="K14" s="13">
        <f>K8-K13</f>
        <v/>
      </c>
      <c r="L14" s="13">
        <f>L8-L13</f>
        <v/>
      </c>
      <c r="M14" s="13">
        <f>M8-M13</f>
        <v/>
      </c>
      <c r="N14" s="13">
        <f>SUM(B14:M14)</f>
        <v/>
      </c>
    </row>
    <row r="15">
      <c r="A15" s="20" t="inlineStr">
        <is>
          <t>Gross Margin %</t>
        </is>
      </c>
      <c r="B15" s="14">
        <f>IF(B8=0,"-",B14/B8)</f>
        <v/>
      </c>
      <c r="C15" s="14">
        <f>IF(C8=0,"-",C14/C8)</f>
        <v/>
      </c>
      <c r="D15" s="14">
        <f>IF(D8=0,"-",D14/D8)</f>
        <v/>
      </c>
      <c r="E15" s="14">
        <f>IF(E8=0,"-",E14/E8)</f>
        <v/>
      </c>
      <c r="F15" s="14">
        <f>IF(F8=0,"-",F14/F8)</f>
        <v/>
      </c>
      <c r="G15" s="14">
        <f>IF(G8=0,"-",G14/G8)</f>
        <v/>
      </c>
      <c r="H15" s="14">
        <f>IF(H8=0,"-",H14/H8)</f>
        <v/>
      </c>
      <c r="I15" s="14">
        <f>IF(I8=0,"-",I14/I8)</f>
        <v/>
      </c>
      <c r="J15" s="14">
        <f>IF(J8=0,"-",J14/J8)</f>
        <v/>
      </c>
      <c r="K15" s="14">
        <f>IF(K8=0,"-",K14/K8)</f>
        <v/>
      </c>
      <c r="L15" s="14">
        <f>IF(L8=0,"-",L14/L8)</f>
        <v/>
      </c>
      <c r="M15" s="14">
        <f>IF(M8=0,"-",M14/M8)</f>
        <v/>
      </c>
      <c r="N15" s="14">
        <f>IF(N8=0,"-",N14/N8)</f>
        <v/>
      </c>
    </row>
    <row r="16">
      <c r="A16" t="inlineStr"/>
    </row>
    <row r="17">
      <c r="A17" s="2" t="inlineStr">
        <is>
          <t>Operating Expenses</t>
        </is>
      </c>
    </row>
    <row r="18">
      <c r="A18" s="20" t="inlineStr">
        <is>
          <t xml:space="preserve">  Marketing &amp; ads</t>
        </is>
      </c>
      <c r="B18" s="13">
        <f>B8*Assumptions!$B$10</f>
        <v/>
      </c>
      <c r="C18" s="13">
        <f>C8*Assumptions!$B$10</f>
        <v/>
      </c>
      <c r="D18" s="13">
        <f>D8*Assumptions!$B$10</f>
        <v/>
      </c>
      <c r="E18" s="13">
        <f>E8*Assumptions!$B$10</f>
        <v/>
      </c>
      <c r="F18" s="13">
        <f>F8*Assumptions!$B$10</f>
        <v/>
      </c>
      <c r="G18" s="13">
        <f>G8*Assumptions!$B$10</f>
        <v/>
      </c>
      <c r="H18" s="13">
        <f>H8*Assumptions!$B$10</f>
        <v/>
      </c>
      <c r="I18" s="13">
        <f>I8*Assumptions!$B$10</f>
        <v/>
      </c>
      <c r="J18" s="13">
        <f>J8*Assumptions!$B$10</f>
        <v/>
      </c>
      <c r="K18" s="13">
        <f>K8*Assumptions!$B$10</f>
        <v/>
      </c>
      <c r="L18" s="13">
        <f>L8*Assumptions!$B$10</f>
        <v/>
      </c>
      <c r="M18" s="13">
        <f>M8*Assumptions!$B$10</f>
        <v/>
      </c>
      <c r="N18" s="13">
        <f>SUM(B18:M18)</f>
        <v/>
      </c>
    </row>
    <row r="19">
      <c r="A19" s="20" t="inlineStr">
        <is>
          <t xml:space="preserve">  Fixed overhead</t>
        </is>
      </c>
      <c r="B19" s="13">
        <f>Assumptions!$B$26</f>
        <v/>
      </c>
      <c r="C19" s="13">
        <f>Assumptions!$B$26</f>
        <v/>
      </c>
      <c r="D19" s="13">
        <f>Assumptions!$B$26</f>
        <v/>
      </c>
      <c r="E19" s="13">
        <f>Assumptions!$B$26</f>
        <v/>
      </c>
      <c r="F19" s="13">
        <f>Assumptions!$B$26</f>
        <v/>
      </c>
      <c r="G19" s="13">
        <f>Assumptions!$B$26</f>
        <v/>
      </c>
      <c r="H19" s="13">
        <f>Assumptions!$B$26</f>
        <v/>
      </c>
      <c r="I19" s="13">
        <f>Assumptions!$B$26</f>
        <v/>
      </c>
      <c r="J19" s="13">
        <f>Assumptions!$B$26</f>
        <v/>
      </c>
      <c r="K19" s="13">
        <f>Assumptions!$B$26</f>
        <v/>
      </c>
      <c r="L19" s="13">
        <f>Assumptions!$B$26</f>
        <v/>
      </c>
      <c r="M19" s="13">
        <f>Assumptions!$B$26</f>
        <v/>
      </c>
      <c r="N19" s="13">
        <f>SUM(B19:M19)</f>
        <v/>
      </c>
    </row>
    <row r="20">
      <c r="A20" s="2" t="inlineStr">
        <is>
          <t>Total OpEx</t>
        </is>
      </c>
      <c r="B20" s="13">
        <f>B18+B19</f>
        <v/>
      </c>
      <c r="C20" s="13">
        <f>C18+C19</f>
        <v/>
      </c>
      <c r="D20" s="13">
        <f>D18+D19</f>
        <v/>
      </c>
      <c r="E20" s="13">
        <f>E18+E19</f>
        <v/>
      </c>
      <c r="F20" s="13">
        <f>F18+F19</f>
        <v/>
      </c>
      <c r="G20" s="13">
        <f>G18+G19</f>
        <v/>
      </c>
      <c r="H20" s="13">
        <f>H18+H19</f>
        <v/>
      </c>
      <c r="I20" s="13">
        <f>I18+I19</f>
        <v/>
      </c>
      <c r="J20" s="13">
        <f>J18+J19</f>
        <v/>
      </c>
      <c r="K20" s="13">
        <f>K18+K19</f>
        <v/>
      </c>
      <c r="L20" s="13">
        <f>L18+L19</f>
        <v/>
      </c>
      <c r="M20" s="13">
        <f>M18+M19</f>
        <v/>
      </c>
      <c r="N20" s="13">
        <f>SUM(B20:M20)</f>
        <v/>
      </c>
    </row>
    <row r="21">
      <c r="A21" t="inlineStr"/>
    </row>
    <row r="22">
      <c r="A22" s="2" t="inlineStr">
        <is>
          <t>EBITDA</t>
        </is>
      </c>
      <c r="B22" s="13">
        <f>B14-B20</f>
        <v/>
      </c>
      <c r="C22" s="13">
        <f>C14-C20</f>
        <v/>
      </c>
      <c r="D22" s="13">
        <f>D14-D20</f>
        <v/>
      </c>
      <c r="E22" s="13">
        <f>E14-E20</f>
        <v/>
      </c>
      <c r="F22" s="13">
        <f>F14-F20</f>
        <v/>
      </c>
      <c r="G22" s="13">
        <f>G14-G20</f>
        <v/>
      </c>
      <c r="H22" s="13">
        <f>H14-H20</f>
        <v/>
      </c>
      <c r="I22" s="13">
        <f>I14-I20</f>
        <v/>
      </c>
      <c r="J22" s="13">
        <f>J14-J20</f>
        <v/>
      </c>
      <c r="K22" s="13">
        <f>K14-K20</f>
        <v/>
      </c>
      <c r="L22" s="13">
        <f>L14-L20</f>
        <v/>
      </c>
      <c r="M22" s="13">
        <f>M14-M20</f>
        <v/>
      </c>
      <c r="N22" s="13">
        <f>SUM(B22:M22)</f>
        <v/>
      </c>
    </row>
    <row r="23">
      <c r="A23" s="20" t="inlineStr">
        <is>
          <t>EBITDA Margin %</t>
        </is>
      </c>
      <c r="B23" s="14">
        <f>IF(B8=0,"-",B22/B8)</f>
        <v/>
      </c>
      <c r="C23" s="14">
        <f>IF(C8=0,"-",C22/C8)</f>
        <v/>
      </c>
      <c r="D23" s="14">
        <f>IF(D8=0,"-",D22/D8)</f>
        <v/>
      </c>
      <c r="E23" s="14">
        <f>IF(E8=0,"-",E22/E8)</f>
        <v/>
      </c>
      <c r="F23" s="14">
        <f>IF(F8=0,"-",F22/F8)</f>
        <v/>
      </c>
      <c r="G23" s="14">
        <f>IF(G8=0,"-",G22/G8)</f>
        <v/>
      </c>
      <c r="H23" s="14">
        <f>IF(H8=0,"-",H22/H8)</f>
        <v/>
      </c>
      <c r="I23" s="14">
        <f>IF(I8=0,"-",I22/I8)</f>
        <v/>
      </c>
      <c r="J23" s="14">
        <f>IF(J8=0,"-",J22/J8)</f>
        <v/>
      </c>
      <c r="K23" s="14">
        <f>IF(K8=0,"-",K22/K8)</f>
        <v/>
      </c>
      <c r="L23" s="14">
        <f>IF(L8=0,"-",L22/L8)</f>
        <v/>
      </c>
      <c r="M23" s="14">
        <f>IF(M8=0,"-",M22/M8)</f>
        <v/>
      </c>
      <c r="N23" s="14">
        <f>IF(N8=0,"-",N22/N8)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RENVOA CLINIC — Scenario Summary (Annual)</t>
        </is>
      </c>
    </row>
    <row r="3">
      <c r="A3" s="12" t="inlineStr">
        <is>
          <t>Metric</t>
        </is>
      </c>
      <c r="B3" s="12" t="inlineStr">
        <is>
          <t>Conservative</t>
        </is>
      </c>
      <c r="C3" s="12" t="inlineStr">
        <is>
          <t>Base (Model)</t>
        </is>
      </c>
      <c r="D3" s="12" t="inlineStr">
        <is>
          <t>Optimistic</t>
        </is>
      </c>
    </row>
    <row r="4">
      <c r="A4" t="inlineStr">
        <is>
          <t>Annual orders</t>
        </is>
      </c>
      <c r="B4" s="3" t="n">
        <v>900</v>
      </c>
      <c r="C4" s="3" t="n">
        <v>1490</v>
      </c>
      <c r="D4" s="3" t="n">
        <v>2400</v>
      </c>
    </row>
    <row r="5">
      <c r="A5" t="inlineStr">
        <is>
          <t>Avg order value ($)</t>
        </is>
      </c>
      <c r="B5" s="9" t="n">
        <v>93</v>
      </c>
      <c r="C5" s="21" t="n">
        <v>95.8</v>
      </c>
      <c r="D5" s="9" t="n">
        <v>98</v>
      </c>
    </row>
    <row r="6">
      <c r="A6" t="inlineStr">
        <is>
          <t>Fully-loaded gross margin %</t>
        </is>
      </c>
      <c r="B6" s="4" t="n">
        <v>0.38</v>
      </c>
      <c r="C6" s="4" t="n">
        <v>0.446</v>
      </c>
      <c r="D6" s="4" t="n">
        <v>0.48</v>
      </c>
    </row>
    <row r="7">
      <c r="A7" t="inlineStr">
        <is>
          <t>Marketing % of revenue</t>
        </is>
      </c>
      <c r="B7" s="4" t="n">
        <v>0.3</v>
      </c>
      <c r="C7" s="4" t="n">
        <v>0.25</v>
      </c>
      <c r="D7" s="4" t="n">
        <v>0.2</v>
      </c>
    </row>
    <row r="8">
      <c r="A8" t="inlineStr">
        <is>
          <t>Annual fixed overhead ($)</t>
        </is>
      </c>
      <c r="B8" s="9" t="n">
        <v>22200</v>
      </c>
      <c r="C8" s="9" t="n">
        <v>22200</v>
      </c>
      <c r="D8" s="9" t="n">
        <v>24000</v>
      </c>
    </row>
    <row r="9">
      <c r="A9" s="2" t="inlineStr">
        <is>
          <t>Gross Revenue</t>
        </is>
      </c>
      <c r="B9" s="10">
        <f>B4*B5</f>
        <v/>
      </c>
      <c r="C9" s="10">
        <f>C4*C5</f>
        <v/>
      </c>
      <c r="D9" s="10">
        <f>D4*D5</f>
        <v/>
      </c>
    </row>
    <row r="10">
      <c r="A10" s="20" t="inlineStr">
        <is>
          <t>Gross Profit</t>
        </is>
      </c>
      <c r="B10" s="10">
        <f>B9*B6</f>
        <v/>
      </c>
      <c r="C10" s="10">
        <f>C9*C6</f>
        <v/>
      </c>
      <c r="D10" s="10">
        <f>D9*D6</f>
        <v/>
      </c>
    </row>
    <row r="11">
      <c r="A11" s="20" t="inlineStr">
        <is>
          <t>Marketing spend</t>
        </is>
      </c>
      <c r="B11" s="10">
        <f>B9*B7</f>
        <v/>
      </c>
      <c r="C11" s="10">
        <f>C9*C7</f>
        <v/>
      </c>
      <c r="D11" s="10">
        <f>D9*D7</f>
        <v/>
      </c>
    </row>
    <row r="12">
      <c r="A12" s="20" t="inlineStr">
        <is>
          <t>Fixed overhead</t>
        </is>
      </c>
      <c r="B12" s="10">
        <f>B8</f>
        <v/>
      </c>
      <c r="C12" s="10">
        <f>C8</f>
        <v/>
      </c>
      <c r="D12" s="10">
        <f>D8</f>
        <v/>
      </c>
    </row>
    <row r="13">
      <c r="A13" s="20" t="inlineStr">
        <is>
          <t>Total OpEx</t>
        </is>
      </c>
      <c r="B13" s="10">
        <f>B12+B13</f>
        <v/>
      </c>
      <c r="C13" s="10">
        <f>C12+C13</f>
        <v/>
      </c>
      <c r="D13" s="10">
        <f>D12+D13</f>
        <v/>
      </c>
    </row>
    <row r="14">
      <c r="A14" s="2" t="inlineStr">
        <is>
          <t>Net Profit (EBITDA)</t>
        </is>
      </c>
      <c r="B14" s="10">
        <f>B10-B14</f>
        <v/>
      </c>
      <c r="C14" s="10">
        <f>C10-C14</f>
        <v/>
      </c>
      <c r="D14" s="10">
        <f>D10-D14</f>
        <v/>
      </c>
    </row>
    <row r="15">
      <c r="A15" s="20" t="inlineStr">
        <is>
          <t>Net Margin %</t>
        </is>
      </c>
      <c r="B15" s="22">
        <f>B15/B9</f>
        <v/>
      </c>
      <c r="C15" s="22">
        <f>C15/C9</f>
        <v/>
      </c>
      <c r="D15" s="22">
        <f>D15/D9</f>
        <v/>
      </c>
    </row>
    <row r="16">
      <c r="A16" s="20" t="inlineStr">
        <is>
          <t>Break-even orders/mo</t>
        </is>
      </c>
      <c r="B16" s="23">
        <f>(B8/12)/(B5*(B6-B7))</f>
        <v/>
      </c>
      <c r="C16" s="23">
        <f>(C8/12)/(C5*(C6-C7))</f>
        <v/>
      </c>
      <c r="D16" s="23">
        <f>(D8/12)/(D5*(D6-D7))</f>
        <v/>
      </c>
    </row>
    <row r="18">
      <c r="A18" s="2" t="inlineStr">
        <is>
          <t>STARTUP CAPITAL REQUIRED</t>
        </is>
      </c>
    </row>
    <row r="19">
      <c r="A19" t="inlineStr">
        <is>
          <t>Initial inventory (100 vials)</t>
        </is>
      </c>
      <c r="B19" s="9" t="n">
        <v>1900</v>
      </c>
    </row>
    <row r="20">
      <c r="A20" t="inlineStr">
        <is>
          <t>Website &amp; branding</t>
        </is>
      </c>
      <c r="B20" s="9" t="n">
        <v>2500</v>
      </c>
    </row>
    <row r="21">
      <c r="A21" t="inlineStr">
        <is>
          <t>Legal / compliance setup</t>
        </is>
      </c>
      <c r="B21" s="9" t="n">
        <v>3500</v>
      </c>
    </row>
    <row r="22">
      <c r="A22" t="inlineStr">
        <is>
          <t>Cold-chain packaging (500 units)</t>
        </is>
      </c>
      <c r="B22" s="9" t="n">
        <v>1200</v>
      </c>
    </row>
    <row r="23">
      <c r="A23" t="inlineStr">
        <is>
          <t>Testing / COA setup</t>
        </is>
      </c>
      <c r="B23" s="9" t="n">
        <v>800</v>
      </c>
    </row>
    <row r="24">
      <c r="A24" t="inlineStr">
        <is>
          <t>Working capital (3 mo OpEx)</t>
        </is>
      </c>
      <c r="B24" s="9" t="n">
        <v>15000</v>
      </c>
    </row>
    <row r="25">
      <c r="A25" s="2" t="inlineStr">
        <is>
          <t>TOTAL STARTUP CAPITAL</t>
        </is>
      </c>
      <c r="B25" s="10">
        <f>SUM(B19:B24)</f>
        <v/>
      </c>
    </row>
    <row r="27">
      <c r="A27" s="2" t="inlineStr">
        <is>
          <t>VERDICT</t>
        </is>
      </c>
    </row>
    <row r="28">
      <c r="A28" t="inlineStr">
        <is>
          <t>RENVOA CLINIC product pricing is PROFITABLE — 44–87% gross margins per SKU at wholesale MOQ.</t>
        </is>
      </c>
    </row>
    <row r="29">
      <c r="A29" t="inlineStr">
        <is>
          <t>Base case Year 1 EBITDA ~$5K (3.5% net margin) after 25% marketing; break-even ~102 orders/month.</t>
        </is>
      </c>
    </row>
    <row r="30">
      <c r="A30" t="inlineStr">
        <is>
          <t>Year 1 is tight — profitability improves sharply in Year 2 as marketing % drops and orders scale.</t>
        </is>
      </c>
    </row>
    <row r="31">
      <c r="A31" t="inlineStr">
        <is>
          <t>Biggest risks: 100-vial inventory MOQ (~$1,900), cold-chain shipping, compliance, TB-500 thin margin.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2026-07-02T18:02:09Z</dcterms:created>
  <dcterms:modified xsi:type="dcterms:W3CDTF">2026-07-02T18:02:09Z</dcterms:modified>
</cp:coreProperties>
</file>